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curring" sheetId="2" state="visible" r:id="rId2"/>
    <sheet xmlns:r="http://schemas.openxmlformats.org/officeDocument/2006/relationships" name="Setup" sheetId="3" state="visible" r:id="rId3"/>
    <sheet xmlns:r="http://schemas.openxmlformats.org/officeDocument/2006/relationships" name="Organization" sheetId="4" state="visible" r:id="rId4"/>
    <sheet xmlns:r="http://schemas.openxmlformats.org/officeDocument/2006/relationships" name="Assumptions" sheetId="5" state="visible" r:id="rId5"/>
  </sheets>
  <definedNames>
    <definedName name="_xlnm._FilterDatabase" localSheetId="0" hidden="1">'Summary'!$A$1:$B$14</definedName>
    <definedName name="_xlnm._FilterDatabase" localSheetId="1" hidden="1">'Recurring'!$A$1:$C$12</definedName>
    <definedName name="_xlnm._FilterDatabase" localSheetId="2" hidden="1">'Setup'!$A$1:$C$12</definedName>
    <definedName name="_xlnm._FilterDatabase" localSheetId="3" hidden="1">'Organization'!$A$1:$B$15</definedName>
    <definedName name="_xlnm._FilterDatabase" localSheetId="4" hidden="1">'Assumptions'!$A$1:$B$14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3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4" customWidth="1" min="2" max="2"/>
    <col width="100" customWidth="1" min="3" max="3"/>
  </cols>
  <sheetData>
    <row r="1">
      <c r="A1" s="1" t="inlineStr">
        <is>
          <t>2027 Hub Funding Plan</t>
        </is>
      </c>
      <c r="B1" s="1" t="inlineStr">
        <is>
          <t>Amount</t>
        </is>
      </c>
    </row>
    <row r="2" ht="30" customHeight="1">
      <c r="A2" s="2" t="inlineStr">
        <is>
          <t>Recurring hub costs</t>
        </is>
      </c>
      <c r="B2" s="3">
        <f>Recurring!B10</f>
        <v/>
      </c>
    </row>
    <row r="3" ht="30" customHeight="1">
      <c r="A3" s="2" t="inlineStr">
        <is>
          <t>Operating contingency (10%)</t>
        </is>
      </c>
      <c r="B3" s="3">
        <f>Recurring!B11</f>
        <v/>
      </c>
    </row>
    <row r="4" ht="30" customHeight="1">
      <c r="A4" s="2" t="inlineStr">
        <is>
          <t>Annual hub operating envelope</t>
        </is>
      </c>
      <c r="B4" s="3">
        <f>Recurring!B12</f>
        <v/>
      </c>
    </row>
    <row r="5" ht="30" customHeight="1">
      <c r="A5" s="2" t="inlineStr">
        <is>
          <t>One-time setup</t>
        </is>
      </c>
      <c r="B5" s="3">
        <f>Setup!B10</f>
        <v/>
      </c>
    </row>
    <row r="6" ht="30" customHeight="1">
      <c r="A6" s="2" t="inlineStr">
        <is>
          <t>Setup contingency (10%)</t>
        </is>
      </c>
      <c r="B6" s="3">
        <f>Setup!B11</f>
        <v/>
      </c>
    </row>
    <row r="7" ht="30" customHeight="1">
      <c r="A7" s="2" t="inlineStr">
        <is>
          <t>Setup funding envelope</t>
        </is>
      </c>
      <c r="B7" s="3">
        <f>Setup!B12</f>
        <v/>
      </c>
    </row>
    <row r="8" ht="30" customHeight="1">
      <c r="A8" s="2" t="inlineStr">
        <is>
          <t>Hub expenditure envelope</t>
        </is>
      </c>
      <c r="B8" s="3">
        <f>B4+B7</f>
        <v/>
      </c>
    </row>
    <row r="9" ht="30" customHeight="1">
      <c r="A9" s="2" t="inlineStr">
        <is>
          <t>Refundable lease deposit (held asset)</t>
        </is>
      </c>
      <c r="B9" s="3" t="n">
        <v>1500</v>
      </c>
    </row>
    <row r="10" ht="30" customHeight="1">
      <c r="A10" s="2" t="inlineStr">
        <is>
          <t>Three-month reserve (base recurring costs)</t>
        </is>
      </c>
      <c r="B10" s="3">
        <f>B2/4</f>
        <v/>
      </c>
    </row>
    <row r="11" ht="30" customHeight="1">
      <c r="A11" s="2" t="inlineStr">
        <is>
          <t>Total first-year hub funding goal</t>
        </is>
      </c>
      <c r="B11" s="3">
        <f>B8+B9+B10</f>
        <v/>
      </c>
    </row>
    <row r="12" ht="30" customHeight="1">
      <c r="A12" s="2" t="inlineStr">
        <is>
          <t>Combined organization expenditure envelope</t>
        </is>
      </c>
      <c r="B12" s="3">
        <f>Organization!B12</f>
        <v/>
      </c>
    </row>
    <row r="13" ht="30" customHeight="1">
      <c r="A13" s="2" t="inlineStr">
        <is>
          <t>Combined organization cash funding requirement</t>
        </is>
      </c>
      <c r="B13" s="3">
        <f>Organization!B15</f>
        <v/>
      </c>
    </row>
    <row r="14" ht="30" customHeight="1">
      <c r="A14" s="2" t="inlineStr">
        <is>
          <t>Status</t>
        </is>
      </c>
      <c r="B14" s="2" t="inlineStr">
        <is>
          <t>Proposed management estimate; contingent on funding and approvals</t>
        </is>
      </c>
    </row>
  </sheetData>
  <autoFilter ref="A1:B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4" customWidth="1" min="2" max="2"/>
    <col width="100" customWidth="1" min="3" max="3"/>
  </cols>
  <sheetData>
    <row r="1">
      <c r="A1" s="1" t="inlineStr">
        <is>
          <t>Cost</t>
        </is>
      </c>
      <c r="B1" s="1" t="inlineStr">
        <is>
          <t>Annual amount</t>
        </is>
      </c>
      <c r="C1" s="1" t="inlineStr">
        <is>
          <t>Basis / purpose</t>
        </is>
      </c>
    </row>
    <row r="2" ht="45" customHeight="1">
      <c r="A2" s="2" t="inlineStr">
        <is>
          <t>Warehouse lease</t>
        </is>
      </c>
      <c r="B2" s="3" t="n">
        <v>15000</v>
      </c>
      <c r="C2" s="2" t="inlineStr">
        <is>
          <t>12 months × $1,250; user planning range $1,000–$1,500. No lease or quote secured.</t>
        </is>
      </c>
    </row>
    <row r="3" ht="45" customHeight="1">
      <c r="A3" s="2" t="inlineStr">
        <is>
          <t>Incremental refrigeration power / occupancy charges</t>
        </is>
      </c>
      <c r="B3" s="3" t="n">
        <v>1800</v>
      </c>
      <c r="C3" s="2" t="inlineStr">
        <is>
          <t>12 × $150 allowance; remove charges already covered by rent. Continuous refrigeration requires landlord approval.</t>
        </is>
      </c>
    </row>
    <row r="4" ht="45" customHeight="1">
      <c r="A4" s="2" t="inlineStr">
        <is>
          <t>Insurance</t>
        </is>
      </c>
      <c r="B4" s="3" t="n">
        <v>2400</v>
      </c>
      <c r="C4" s="2" t="inlineStr">
        <is>
          <t>12 × $200 allowance for liability, contents, food spoilage and applicable transport coverage; obtain broker quote.</t>
        </is>
      </c>
    </row>
    <row r="5" ht="45" customHeight="1">
      <c r="A5" s="2" t="inlineStr">
        <is>
          <t>Cleaning, pest control and waste</t>
        </is>
      </c>
      <c r="B5" s="3" t="n">
        <v>1800</v>
      </c>
      <c r="C5" s="2" t="inlineStr">
        <is>
          <t>12 × $150 incremental allowance; confirm landlord services before spending.</t>
        </is>
      </c>
    </row>
    <row r="6" ht="45" customHeight="1">
      <c r="A6" s="2" t="inlineStr">
        <is>
          <t>Equipment service and repairs</t>
        </is>
      </c>
      <c r="B6" s="3" t="n">
        <v>1200</v>
      </c>
      <c r="C6" s="2" t="inlineStr">
        <is>
          <t>12 × $100 allowance for cold-storage maintenance; replacement beyond allowance uses contingency.</t>
        </is>
      </c>
    </row>
    <row r="7" ht="45" customHeight="1">
      <c r="A7" s="2" t="inlineStr">
        <is>
          <t>Food pickup and delivery logistics</t>
        </is>
      </c>
      <c r="B7" s="3" t="n">
        <v>6000</v>
      </c>
      <c r="C7" s="2" t="inlineStr">
        <is>
          <t>12 × $500 for rentals or hired transport, fuel, tolls and required coverage. No vehicle purchase; refrigerated transport priced separately if needed.</t>
        </is>
      </c>
    </row>
    <row r="8" ht="45" customHeight="1">
      <c r="A8" s="2" t="inlineStr">
        <is>
          <t>Warehouse packing and safety supplies</t>
        </is>
      </c>
      <c r="B8" s="3" t="n">
        <v>2400</v>
      </c>
      <c r="C8" s="2" t="inlineStr">
        <is>
          <t>12 × $200 for cartons, food-safe containers, labels, PPE and cleaning supplies; warehouse-specific, separate from education materials.</t>
        </is>
      </c>
    </row>
    <row r="9" ht="45" customHeight="1">
      <c r="A9" s="2" t="inlineStr">
        <is>
          <t>Part-time operations coordination</t>
        </is>
      </c>
      <c r="B9" s="3" t="n">
        <v>12000</v>
      </c>
      <c r="C9" s="2" t="inlineStr">
        <is>
          <t>Approx. 8 hours/week × $25 × 52 = $10,400 plus $1,600 payroll burden allowance. Employee cost assumption; confirm payroll and workers’ compensation quotes.</t>
        </is>
      </c>
    </row>
    <row r="10" ht="45" customHeight="1">
      <c r="A10" s="2" t="inlineStr">
        <is>
          <t>Subtotal</t>
        </is>
      </c>
      <c r="B10" s="3">
        <f>SUM(B2:B9)</f>
        <v/>
      </c>
      <c r="C10" s="2" t="n"/>
    </row>
    <row r="11" ht="45" customHeight="1">
      <c r="A11" s="2" t="inlineStr">
        <is>
          <t>Contingency (10%)</t>
        </is>
      </c>
      <c r="B11" s="3">
        <f>B10*10%</f>
        <v/>
      </c>
      <c r="C11" s="2" t="n"/>
    </row>
    <row r="12" ht="45" customHeight="1">
      <c r="A12" s="2" t="inlineStr">
        <is>
          <t>Envelope</t>
        </is>
      </c>
      <c r="B12" s="3">
        <f>SUM(B10:B11)</f>
        <v/>
      </c>
      <c r="C12" s="2" t="n"/>
    </row>
  </sheetData>
  <autoFilter ref="A1:C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4" customWidth="1" min="2" max="2"/>
    <col width="100" customWidth="1" min="3" max="3"/>
  </cols>
  <sheetData>
    <row r="1">
      <c r="A1" s="1" t="inlineStr">
        <is>
          <t>Cost</t>
        </is>
      </c>
      <c r="B1" s="1" t="inlineStr">
        <is>
          <t>Annual amount</t>
        </is>
      </c>
      <c r="C1" s="1" t="inlineStr">
        <is>
          <t>Basis / purpose</t>
        </is>
      </c>
    </row>
    <row r="2" ht="45" customHeight="1">
      <c r="A2" s="2" t="inlineStr">
        <is>
          <t>Commercial refrigerators and freezers</t>
        </is>
      </c>
      <c r="B2" s="3" t="n">
        <v>8000</v>
      </c>
      <c r="C2" s="2" t="inlineStr">
        <is>
          <t>Two double-door refrigerators and two double-door freezers: reference retail total $7,456; $544 allowance for delivery/tax/price variance. Planning specification, not a selected vendor.</t>
        </is>
      </c>
    </row>
    <row r="3" ht="45" customHeight="1">
      <c r="A3" s="2" t="inlineStr">
        <is>
          <t>Dry storage shelving and worktables</t>
        </is>
      </c>
      <c r="B3" s="3" t="n">
        <v>2000</v>
      </c>
      <c r="C3" s="2" t="inlineStr">
        <is>
          <t>Food-safe storage and sorting surfaces; racking loads and layout to be confirmed.</t>
        </is>
      </c>
    </row>
    <row r="4" ht="45" customHeight="1">
      <c r="A4" s="2" t="inlineStr">
        <is>
          <t>Handling equipment</t>
        </is>
      </c>
      <c r="B4" s="3" t="n">
        <v>1000</v>
      </c>
      <c r="C4" s="2" t="inlineStr">
        <is>
          <t>Dollies, carts and pallet jack allowance; reduce if shared equipment is sufficient.</t>
        </is>
      </c>
    </row>
    <row r="5" ht="45" customHeight="1">
      <c r="A5" s="2" t="inlineStr">
        <is>
          <t>Electrical assessment and minor installation</t>
        </is>
      </c>
      <c r="B5" s="3" t="n">
        <v>2000</v>
      </c>
      <c r="C5" s="2" t="inlineStr">
        <is>
          <t>Confirm dedicated circuits, equipment loads, outlets, ventilation and landlord permission. No major build-out included.</t>
        </is>
      </c>
    </row>
    <row r="6" ht="45" customHeight="1">
      <c r="A6" s="2" t="inlineStr">
        <is>
          <t>Temperature monitoring</t>
        </is>
      </c>
      <c r="B6" s="3" t="n">
        <v>500</v>
      </c>
      <c r="C6" s="2" t="inlineStr">
        <is>
          <t>Thermometers, data logs and alert sensors; recurring fees, if any, fit administration budget.</t>
        </is>
      </c>
    </row>
    <row r="7" ht="45" customHeight="1">
      <c r="A7" s="2" t="inlineStr">
        <is>
          <t>Insulated transport containers</t>
        </is>
      </c>
      <c r="B7" s="3" t="n">
        <v>750</v>
      </c>
      <c r="C7" s="2" t="inlineStr">
        <is>
          <t>Coolers and cold packs for short trips; not a substitute for a refrigerated truck on long routes.</t>
        </is>
      </c>
    </row>
    <row r="8" ht="45" customHeight="1">
      <c r="A8" s="2" t="inlineStr">
        <is>
          <t>Move-in, locks and basic signage</t>
        </is>
      </c>
      <c r="B8" s="3" t="n">
        <v>750</v>
      </c>
      <c r="C8" s="2" t="inlineStr">
        <is>
          <t>Moving and warehouse security setup; no duplicate ongoing security charge.</t>
        </is>
      </c>
    </row>
    <row r="9" ht="45" customHeight="1">
      <c r="A9" s="2" t="inlineStr">
        <is>
          <t>Training, inspections and permits allowance</t>
        </is>
      </c>
      <c r="B9" s="3" t="n">
        <v>500</v>
      </c>
      <c r="C9" s="2" t="inlineStr">
        <is>
          <t>Food handling and facility review allowance; actual required approvals and fees must be confirmed.</t>
        </is>
      </c>
    </row>
    <row r="10" ht="45" customHeight="1">
      <c r="A10" s="2" t="inlineStr">
        <is>
          <t>Subtotal</t>
        </is>
      </c>
      <c r="B10" s="3">
        <f>SUM(B2:B9)</f>
        <v/>
      </c>
      <c r="C10" s="2" t="n"/>
    </row>
    <row r="11" ht="45" customHeight="1">
      <c r="A11" s="2" t="inlineStr">
        <is>
          <t>Contingency (10%)</t>
        </is>
      </c>
      <c r="B11" s="3">
        <f>B10*10%</f>
        <v/>
      </c>
      <c r="C11" s="2" t="n"/>
    </row>
    <row r="12" ht="45" customHeight="1">
      <c r="A12" s="2" t="inlineStr">
        <is>
          <t>Envelope</t>
        </is>
      </c>
      <c r="B12" s="3">
        <f>SUM(B10:B11)</f>
        <v/>
      </c>
      <c r="C12" s="2" t="n"/>
    </row>
  </sheetData>
  <autoFilter ref="A1:C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4" customWidth="1" min="2" max="2"/>
    <col width="100" customWidth="1" min="3" max="3"/>
  </cols>
  <sheetData>
    <row r="1">
      <c r="A1" s="1" t="inlineStr">
        <is>
          <t>Existing 2027 planning category</t>
        </is>
      </c>
      <c r="B1" s="1" t="inlineStr">
        <is>
          <t>Amount</t>
        </is>
      </c>
    </row>
    <row r="2" ht="30" customHeight="1">
      <c r="A2" s="2" t="inlineStr">
        <is>
          <t>Food and essential-needs assistance</t>
        </is>
      </c>
      <c r="B2" s="3" t="n">
        <v>15000</v>
      </c>
    </row>
    <row r="3" ht="30" customHeight="1">
      <c r="A3" s="2" t="inlineStr">
        <is>
          <t>Youth entrepreneurship and financial education</t>
        </is>
      </c>
      <c r="B3" s="3" t="n">
        <v>12000</v>
      </c>
    </row>
    <row r="4" ht="30" customHeight="1">
      <c r="A4" s="2" t="inlineStr">
        <is>
          <t>Student participation support and incentives</t>
        </is>
      </c>
      <c r="B4" s="3" t="n">
        <v>6000</v>
      </c>
    </row>
    <row r="5" ht="30" customHeight="1">
      <c r="A5" s="2" t="inlineStr">
        <is>
          <t>Educational materials and program supplies</t>
        </is>
      </c>
      <c r="B5" s="3" t="n">
        <v>5000</v>
      </c>
    </row>
    <row r="6" ht="30" customHeight="1">
      <c r="A6" s="2" t="inlineStr">
        <is>
          <t>Community outreach and recruitment</t>
        </is>
      </c>
      <c r="B6" s="3" t="n">
        <v>4000</v>
      </c>
    </row>
    <row r="7" ht="30" customHeight="1">
      <c r="A7" s="2" t="inlineStr">
        <is>
          <t>Program administration, evaluation and reporting</t>
        </is>
      </c>
      <c r="B7" s="3" t="n">
        <v>8000</v>
      </c>
    </row>
    <row r="8" ht="30" customHeight="1">
      <c r="A8" s="2" t="inlineStr">
        <is>
          <t>Community events and program delivery</t>
        </is>
      </c>
      <c r="B8" s="3" t="n">
        <v>5000</v>
      </c>
    </row>
    <row r="9" ht="30" customHeight="1">
      <c r="A9" s="2" t="inlineStr">
        <is>
          <t>Innovation Lab technology package</t>
        </is>
      </c>
      <c r="B9" s="3" t="n">
        <v>8000</v>
      </c>
    </row>
    <row r="10" ht="30" customHeight="1">
      <c r="A10" s="2" t="inlineStr">
        <is>
          <t>Existing subtotal</t>
        </is>
      </c>
      <c r="B10" s="3">
        <f>SUM(B2:B9)</f>
        <v/>
      </c>
    </row>
    <row r="11" ht="30" customHeight="1">
      <c r="A11" s="2" t="inlineStr">
        <is>
          <t>Hub expenditure envelope</t>
        </is>
      </c>
      <c r="B11" s="3">
        <f>Recurring!B12+Setup!B12</f>
        <v/>
      </c>
    </row>
    <row r="12" ht="30" customHeight="1">
      <c r="A12" s="2" t="inlineStr">
        <is>
          <t>Combined expenditure envelope</t>
        </is>
      </c>
      <c r="B12" s="3">
        <f>SUM(B10:B11)</f>
        <v/>
      </c>
    </row>
    <row r="13" ht="30" customHeight="1">
      <c r="A13" s="2" t="inlineStr">
        <is>
          <t>Deposit</t>
        </is>
      </c>
      <c r="B13" s="3" t="n">
        <v>1500</v>
      </c>
    </row>
    <row r="14" ht="30" customHeight="1">
      <c r="A14" s="2" t="inlineStr">
        <is>
          <t>Reserve</t>
        </is>
      </c>
      <c r="B14" s="3">
        <f>Recurring!B10/4</f>
        <v/>
      </c>
    </row>
    <row r="15" ht="30" customHeight="1">
      <c r="A15" s="2" t="inlineStr">
        <is>
          <t>Combined funding requirement</t>
        </is>
      </c>
      <c r="B15" s="3">
        <f>SUM(B12:B14)</f>
        <v/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10" customWidth="1" min="2" max="2"/>
    <col width="100" customWidth="1" min="3" max="3"/>
  </cols>
  <sheetData>
    <row r="1">
      <c r="A1" s="1" t="inlineStr">
        <is>
          <t>Topic</t>
        </is>
      </c>
      <c r="B1" s="1" t="inlineStr">
        <is>
          <t>Planning guidance</t>
        </is>
      </c>
    </row>
    <row r="2" ht="45" customHeight="1">
      <c r="A2" s="2" t="inlineStr">
        <is>
          <t>Scope</t>
        </is>
      </c>
      <c r="B2" s="2" t="inlineStr">
        <is>
          <t>Warehouse food storage and distribution; proposed 500–1,000 sq ft; no lease secured.</t>
        </is>
      </c>
    </row>
    <row r="3" ht="45" customHeight="1">
      <c r="A3" s="2" t="inlineStr">
        <is>
          <t>Rent</t>
        </is>
      </c>
      <c r="B3" s="2" t="inlineStr">
        <is>
          <t>Base $1,250/month; range $1,000–$1,500. Confirm utilities, refrigeration use and power.</t>
        </is>
      </c>
    </row>
    <row r="4" ht="45" customHeight="1">
      <c r="A4" s="2" t="inlineStr">
        <is>
          <t>Equipment</t>
        </is>
      </c>
      <c r="B4" s="2" t="inlineStr">
        <is>
          <t>Two double-door fridges and two double-door freezers; reach-ins cannot receive intact refrigerated pallets.</t>
        </is>
      </c>
    </row>
    <row r="5" ht="45" customHeight="1">
      <c r="A5" s="2" t="inlineStr">
        <is>
          <t>Coordination</t>
        </is>
      </c>
      <c r="B5" s="2" t="inlineStr">
        <is>
          <t>8 hours/week × $25 × 52 plus $1,600 burden; employee assumption, verify payroll and insurance.</t>
        </is>
      </c>
    </row>
    <row r="6" ht="45" customHeight="1">
      <c r="A6" s="2" t="inlineStr">
        <is>
          <t>Deposit</t>
        </is>
      </c>
      <c r="B6" s="2" t="inlineStr">
        <is>
          <t>Refundable asset, not expense. $1,500 base estimate.</t>
        </is>
      </c>
    </row>
    <row r="7" ht="45" customHeight="1">
      <c r="A7" s="2" t="inlineStr">
        <is>
          <t>Reserve</t>
        </is>
      </c>
      <c r="B7" s="2" t="inlineStr">
        <is>
          <t>Three months base recurring costs; unspent cash, not additional expense.</t>
        </is>
      </c>
    </row>
    <row r="8" ht="45" customHeight="1">
      <c r="A8" s="2" t="inlineStr">
        <is>
          <t>Contingencies</t>
        </is>
      </c>
      <c r="B8" s="2" t="inlineStr">
        <is>
          <t>10% management allowance; grant eligibility varies.</t>
        </is>
      </c>
    </row>
    <row r="9" ht="45" customHeight="1">
      <c r="A9" s="2" t="inlineStr">
        <is>
          <t>Income</t>
        </is>
      </c>
      <c r="B9" s="2" t="inlineStr">
        <is>
          <t>No 2027 hub funding allocated here until award period/restrictions verified.</t>
        </is>
      </c>
    </row>
    <row r="10" ht="45" customHeight="1">
      <c r="A10" s="2" t="inlineStr">
        <is>
          <t>Overlap</t>
        </is>
      </c>
      <c r="B10" s="2" t="inlineStr">
        <is>
          <t>Do not double-charge existing program administration, event delivery, supplies or funded equipment.</t>
        </is>
      </c>
    </row>
    <row r="11" ht="45" customHeight="1">
      <c r="A11" s="2" t="inlineStr">
        <is>
          <t>Excluded</t>
        </is>
      </c>
      <c r="B11" s="2" t="inlineStr">
        <is>
          <t>Walk-in cooler, truck/forklift purchase, major build-out, generator, church facility repairs.</t>
        </is>
      </c>
    </row>
    <row r="12" ht="45" customHeight="1">
      <c r="A12" s="2" t="inlineStr">
        <is>
          <t>Timing</t>
        </is>
      </c>
      <c r="B12" s="2" t="inlineStr">
        <is>
          <t>Full-year rent coverage budgeted; Q1 readiness, proposed Q2 distributions. Reforecast for actual start.</t>
        </is>
      </c>
    </row>
    <row r="13" ht="45" customHeight="1">
      <c r="A13" s="2" t="inlineStr">
        <is>
          <t>Targets</t>
        </is>
      </c>
      <c r="B13" s="2" t="inlineStr">
        <is>
          <t>18 April–December distribution cycles, 3 community locations; proposed, not historical.</t>
        </is>
      </c>
    </row>
    <row r="14" ht="45" customHeight="1">
      <c r="A14" s="2" t="inlineStr">
        <is>
          <t>Sources</t>
        </is>
      </c>
      <c r="B14" s="2" t="inlineStr">
        <is>
          <t>WareWorks amenities; WebstaurantStore retail equipment anchors checked 2026-10-06; Straus plan dated 2026-10-05.</t>
        </is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2026-10-06T15:32:13Z</dcterms:created>
  <dcterms:modified xmlns:dcterms="http://purl.org/dc/terms/" xmlns:xsi="http://www.w3.org/2001/XMLSchema-instance" xsi:type="dcterms:W3CDTF">2026-10-06T15:32:13Z</dcterms:modified>
</cp:coreProperties>
</file>